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7\Desktop\VERİLEN TEKLİFLER\"/>
    </mc:Choice>
  </mc:AlternateContent>
  <bookViews>
    <workbookView xWindow="0" yWindow="0" windowWidth="21600" windowHeight="9615" tabRatio="850"/>
  </bookViews>
  <sheets>
    <sheet name="TEKLİF" sheetId="112" r:id="rId1"/>
  </sheets>
  <definedNames>
    <definedName name="_xlnm._FilterDatabase" localSheetId="0" hidden="1">TEKLİF!#REF!</definedName>
    <definedName name="ECE">#REF!</definedName>
    <definedName name="_xlnm.Print_Area" localSheetId="0">TEKLİF!$A$1:$M$99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5" i="112" l="1"/>
  <c r="L45" i="112"/>
  <c r="J75" i="112" l="1"/>
  <c r="H81" i="112" l="1"/>
  <c r="J81" i="112" l="1"/>
  <c r="K81" i="112" s="1"/>
  <c r="J46" i="112" l="1"/>
</calcChain>
</file>

<file path=xl/sharedStrings.xml><?xml version="1.0" encoding="utf-8"?>
<sst xmlns="http://schemas.openxmlformats.org/spreadsheetml/2006/main" count="57" uniqueCount="54">
  <si>
    <t>OPSİYON:</t>
  </si>
  <si>
    <t>GARANTİ SÜRESİ:</t>
  </si>
  <si>
    <t>İŞİN TESLİM SÜRESİ:</t>
  </si>
  <si>
    <t>Sayfa Sayısı:</t>
  </si>
  <si>
    <t>Ref.No:</t>
  </si>
  <si>
    <t xml:space="preserve"> DOĞAL GAZ TESİSATI</t>
  </si>
  <si>
    <t>TARAFINIZDAN YAPILACAK İŞLER</t>
  </si>
  <si>
    <t>*</t>
  </si>
  <si>
    <t>Kombi ve montajının yapılması</t>
  </si>
  <si>
    <t>Kombi</t>
  </si>
  <si>
    <t>GAZDAŞ aboneliğinin yapılması ve güvence bedeli yatırılması.</t>
  </si>
  <si>
    <r>
      <t xml:space="preserve">Teklifimiz </t>
    </r>
    <r>
      <rPr>
        <sz val="14"/>
        <rFont val="Tahoma"/>
        <family val="2"/>
        <charset val="162"/>
      </rPr>
      <t>7</t>
    </r>
    <r>
      <rPr>
        <sz val="14"/>
        <rFont val="Tahoma"/>
        <family val="2"/>
      </rPr>
      <t xml:space="preserve"> gün geçerlidir.</t>
    </r>
  </si>
  <si>
    <t xml:space="preserve">Diğer malzemeler </t>
  </si>
  <si>
    <t>süresine göre değişebilecek olup, bu süre normal şartlarda 10 gün civarında gerçekleşmektedir.</t>
  </si>
  <si>
    <t xml:space="preserve">süresi, sırasıyla GAZDAŞ aboneliğinizin tarafınızdan yapılmasına, hazırlayacağımız projenin GAZDAŞ'dan </t>
  </si>
  <si>
    <t xml:space="preserve">onay süresine ve bu projeye uygun olarak yapılacak tesisatın yine GAZDAŞ tarafından verilecek gaz açma </t>
  </si>
  <si>
    <t>2</t>
  </si>
  <si>
    <t>ALTERNATİFLİ KOMBİ SEÇENEKLERİ</t>
  </si>
  <si>
    <t>KOMBİ FİYATI</t>
  </si>
  <si>
    <t>TESİSAT BEDELİ</t>
  </si>
  <si>
    <t>tesisatın sigorta bedeli, topraklama rapor bedeli fiyata dahildir.</t>
  </si>
  <si>
    <t>2023/001</t>
  </si>
  <si>
    <t>2 yıl Servis Garantisindedir.</t>
  </si>
  <si>
    <t>Doğalgaz tesisatı sözleşmeyi müteakip en geç 7 gün içinde bitirilecek olup, doğal gaz tesisatının yapım</t>
  </si>
  <si>
    <t>0535 641 9061</t>
  </si>
  <si>
    <t xml:space="preserve">   METİN DÖŞ</t>
  </si>
  <si>
    <t>1 yıl Firmamız garantisi altındadır.</t>
  </si>
  <si>
    <t>Daire içerisine Ocak ve Kombi için Dogalgaz tesisatı çekilmesi Test edilmesi işidir.</t>
  </si>
  <si>
    <t>İŞİN ADI: ONAT KUTLAR MAH</t>
  </si>
  <si>
    <t>Yapılacak olan tesisatlara ait projelendirme, Gazdaş proje kabul ücreti,</t>
  </si>
  <si>
    <t>SAYGILARIMLA,</t>
  </si>
  <si>
    <t xml:space="preserve">
TOPLAM FİYATI MAİL ORDER İLE -6-8 TAKSİT ÖDEME İLE (%50 BEDELİ PEŞİN )</t>
  </si>
  <si>
    <t xml:space="preserve"> KOMBİ DAHİL TOPLAM PEŞİN FİYAT</t>
  </si>
  <si>
    <t xml:space="preserve">Mevcuttaki Dışarıdaki bırakılan Yedek branşmandan alınan hatta Sayaç montajı yapılarak </t>
  </si>
  <si>
    <t xml:space="preserve">Argon Kaynaklı Olacaktır.  </t>
  </si>
  <si>
    <t>DİŞLİ TESİSAT OLACAKTIR.</t>
  </si>
  <si>
    <t xml:space="preserve">Bina girişinde Bırakılacak olan  olan Servis kutusundan Alınacak olan hattın Bina </t>
  </si>
  <si>
    <t>Girişine Sahanlıkdan girilerek Her daire için Branşman bırakılması işidir.</t>
  </si>
  <si>
    <t>KOLON TESİSATI 5 DAİRE İÇİNDİR</t>
  </si>
  <si>
    <t xml:space="preserve">EN ÜST KAT 2 DAİRE İÇİN </t>
  </si>
  <si>
    <t>Kombinin GAZDAŞ Şartnamesine göre uygun bir yere asılarak   Balkon Uygundur</t>
  </si>
  <si>
    <t>Petek ve Peteklerin Vanalarının Montajlanması işidir.</t>
  </si>
  <si>
    <t>Kombiler Balkonda oldugundan 2 adet  Kombi dolabı Dahildir.</t>
  </si>
  <si>
    <t xml:space="preserve">ORTA KAT 2 DAİRE İÇİN </t>
  </si>
  <si>
    <r>
      <t xml:space="preserve">Daire içerisine Q32 Kompozit Boru ile PPRC tesisat yapılması ve dairelerin içerisine toplamda 1 daire için </t>
    </r>
    <r>
      <rPr>
        <b/>
        <i/>
        <sz val="15"/>
        <rFont val="Tahoma"/>
        <family val="2"/>
        <charset val="162"/>
      </rPr>
      <t>(9,5 metretül x2 =19 metre</t>
    </r>
  </si>
  <si>
    <r>
      <rPr>
        <b/>
        <i/>
        <sz val="15"/>
        <rFont val="Tahoma"/>
        <family val="2"/>
        <charset val="162"/>
      </rPr>
      <t>4 adet 7 li Kollektör</t>
    </r>
    <r>
      <rPr>
        <i/>
        <sz val="15"/>
        <rFont val="Tahoma"/>
        <family val="2"/>
        <charset val="162"/>
      </rPr>
      <t xml:space="preserve"> Petek ve Peteklerin Vanalarının Montajlanması işidir.</t>
    </r>
  </si>
  <si>
    <r>
      <rPr>
        <b/>
        <i/>
        <sz val="15"/>
        <rFont val="Tahoma"/>
        <family val="2"/>
        <charset val="162"/>
      </rPr>
      <t>2 adet 10 lu Kollektör</t>
    </r>
    <r>
      <rPr>
        <i/>
        <sz val="15"/>
        <rFont val="Tahoma"/>
        <family val="2"/>
        <charset val="162"/>
      </rPr>
      <t xml:space="preserve"> Petek ve Peteklerin Vanalarının Montajlanması işidir.</t>
    </r>
  </si>
  <si>
    <r>
      <t xml:space="preserve">Daire içerisine Kırımlı Pex tesisat ile Mobil sistem Yapılması </t>
    </r>
    <r>
      <rPr>
        <b/>
        <i/>
        <sz val="15"/>
        <rFont val="Tahoma"/>
        <family val="2"/>
        <charset val="162"/>
      </rPr>
      <t xml:space="preserve">11,5 metretül </t>
    </r>
  </si>
  <si>
    <r>
      <t xml:space="preserve">Daire içerisine Kırımlı Pex tesisat ile Mobil sistem Yapılması </t>
    </r>
    <r>
      <rPr>
        <b/>
        <i/>
        <sz val="15"/>
        <rFont val="Tahoma"/>
        <family val="2"/>
        <charset val="162"/>
      </rPr>
      <t>8,5 metretül x 2 =17 metre</t>
    </r>
    <r>
      <rPr>
        <i/>
        <sz val="15"/>
        <rFont val="Tahoma"/>
        <family val="2"/>
        <charset val="162"/>
      </rPr>
      <t xml:space="preserve"> </t>
    </r>
  </si>
  <si>
    <t xml:space="preserve">Daire  içi Dogalgaz Tesisatı  4 Daire için </t>
  </si>
  <si>
    <t>Demirdöküm Nitromix 24 KW  Tam yoğuşmalı  X 4 ADET (32.000 tl)</t>
  </si>
  <si>
    <t xml:space="preserve">4 daire için </t>
  </si>
  <si>
    <t>İYİ ÇALIŞMALAR,</t>
  </si>
  <si>
    <t>KOMBİ HARİÇ TESİSAT TOPLAM BEDELİ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</si>
</sst>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TL&quot;"/>
  </numFmts>
  <fonts count="38" x14ac:knownFonts="1">
    <font>
      <sz val="10"/>
      <name val="Arial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i/>
      <sz val="10"/>
      <name val="Tahoma"/>
      <family val="2"/>
    </font>
    <font>
      <sz val="10"/>
      <color indexed="10"/>
      <name val="Tahoma"/>
      <family val="2"/>
    </font>
    <font>
      <i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sz val="14"/>
      <name val="Arial"/>
      <family val="2"/>
      <charset val="162"/>
    </font>
    <font>
      <b/>
      <sz val="14"/>
      <name val="Arial"/>
      <family val="2"/>
      <charset val="162"/>
    </font>
    <font>
      <sz val="14"/>
      <name val="Tahoma"/>
      <family val="2"/>
      <charset val="162"/>
    </font>
    <font>
      <b/>
      <sz val="10"/>
      <name val="Tahoma"/>
      <family val="2"/>
      <charset val="162"/>
    </font>
    <font>
      <b/>
      <sz val="16"/>
      <name val="Tahoma"/>
      <family val="2"/>
    </font>
    <font>
      <sz val="12"/>
      <color indexed="10"/>
      <name val="Tahoma"/>
      <family val="2"/>
    </font>
    <font>
      <i/>
      <sz val="12"/>
      <name val="Tahoma"/>
      <family val="2"/>
    </font>
    <font>
      <sz val="15"/>
      <name val="Tahoma"/>
      <family val="2"/>
    </font>
    <font>
      <b/>
      <u/>
      <sz val="15"/>
      <name val="Tahoma"/>
      <family val="2"/>
    </font>
    <font>
      <sz val="15"/>
      <name val="Tahoma"/>
      <family val="2"/>
      <charset val="162"/>
    </font>
    <font>
      <b/>
      <u/>
      <sz val="15"/>
      <name val="Tahoma"/>
      <family val="2"/>
      <charset val="162"/>
    </font>
    <font>
      <u/>
      <sz val="15"/>
      <name val="Tahoma"/>
      <family val="2"/>
      <charset val="162"/>
    </font>
    <font>
      <i/>
      <u/>
      <sz val="15"/>
      <name val="Tahoma"/>
      <family val="2"/>
    </font>
    <font>
      <i/>
      <u/>
      <sz val="15"/>
      <name val="Tahoma"/>
      <family val="2"/>
      <charset val="162"/>
    </font>
    <font>
      <i/>
      <sz val="15"/>
      <name val="Tahoma"/>
      <family val="2"/>
      <charset val="162"/>
    </font>
    <font>
      <i/>
      <sz val="15"/>
      <name val="Tahoma"/>
      <family val="2"/>
    </font>
    <font>
      <b/>
      <sz val="15"/>
      <name val="Tahoma"/>
      <family val="2"/>
      <charset val="162"/>
    </font>
    <font>
      <b/>
      <sz val="14"/>
      <name val="Tahoma"/>
      <family val="2"/>
      <charset val="162"/>
    </font>
    <font>
      <b/>
      <i/>
      <u/>
      <sz val="16"/>
      <name val="Tahoma"/>
      <family val="2"/>
      <charset val="162"/>
    </font>
    <font>
      <b/>
      <sz val="16"/>
      <name val="Tahoma"/>
      <family val="2"/>
      <charset val="162"/>
    </font>
    <font>
      <b/>
      <sz val="18"/>
      <name val="Tahoma"/>
      <family val="2"/>
      <charset val="162"/>
    </font>
    <font>
      <b/>
      <i/>
      <sz val="15"/>
      <name val="Tahoma"/>
      <family val="2"/>
      <charset val="162"/>
    </font>
    <font>
      <b/>
      <i/>
      <sz val="14"/>
      <name val="Tahoma"/>
      <family val="2"/>
      <charset val="162"/>
    </font>
    <font>
      <b/>
      <sz val="18"/>
      <name val="Tahoma"/>
      <family val="2"/>
    </font>
    <font>
      <sz val="10"/>
      <name val="Tahoma"/>
      <family val="2"/>
      <charset val="162"/>
    </font>
    <font>
      <b/>
      <i/>
      <u/>
      <sz val="15"/>
      <name val="Tahoma"/>
      <family val="2"/>
      <charset val="162"/>
    </font>
    <font>
      <b/>
      <sz val="11"/>
      <name val="Tahoma"/>
      <family val="2"/>
      <charset val="162"/>
    </font>
    <font>
      <sz val="11"/>
      <name val="Tahoma"/>
      <family val="2"/>
    </font>
    <font>
      <b/>
      <u/>
      <sz val="11"/>
      <name val="Tahoma"/>
      <family val="2"/>
    </font>
    <font>
      <b/>
      <sz val="1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</cellStyleXfs>
  <cellXfs count="182">
    <xf numFmtId="0" fontId="0" fillId="0" borderId="0" xfId="0"/>
    <xf numFmtId="3" fontId="6" fillId="0" borderId="0" xfId="0" applyNumberFormat="1" applyFont="1" applyAlignment="1">
      <alignment horizontal="right"/>
    </xf>
    <xf numFmtId="0" fontId="5" fillId="0" borderId="0" xfId="3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 applyAlignment="1">
      <alignment horizontal="left"/>
    </xf>
    <xf numFmtId="0" fontId="6" fillId="0" borderId="0" xfId="1" applyFont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3" fontId="6" fillId="0" borderId="2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3" fontId="6" fillId="0" borderId="0" xfId="0" applyNumberFormat="1" applyFont="1"/>
    <xf numFmtId="3" fontId="6" fillId="0" borderId="2" xfId="0" applyNumberFormat="1" applyFont="1" applyBorder="1"/>
    <xf numFmtId="0" fontId="6" fillId="0" borderId="1" xfId="0" applyFont="1" applyBorder="1" applyAlignment="1">
      <alignment horizontal="left"/>
    </xf>
    <xf numFmtId="0" fontId="6" fillId="0" borderId="0" xfId="2" applyFont="1"/>
    <xf numFmtId="0" fontId="6" fillId="0" borderId="2" xfId="2" applyFont="1" applyBorder="1"/>
    <xf numFmtId="0" fontId="7" fillId="0" borderId="0" xfId="0" applyFont="1" applyAlignment="1">
      <alignment vertical="center"/>
    </xf>
    <xf numFmtId="0" fontId="5" fillId="0" borderId="0" xfId="0" applyFont="1"/>
    <xf numFmtId="1" fontId="7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left"/>
    </xf>
    <xf numFmtId="0" fontId="11" fillId="0" borderId="0" xfId="4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49" fontId="17" fillId="0" borderId="6" xfId="0" applyNumberFormat="1" applyFont="1" applyBorder="1" applyAlignment="1">
      <alignment horizontal="left"/>
    </xf>
    <xf numFmtId="0" fontId="17" fillId="0" borderId="0" xfId="4" applyFont="1"/>
    <xf numFmtId="4" fontId="17" fillId="2" borderId="7" xfId="0" applyNumberFormat="1" applyFont="1" applyFill="1" applyBorder="1" applyAlignment="1">
      <alignment horizontal="right"/>
    </xf>
    <xf numFmtId="4" fontId="17" fillId="0" borderId="9" xfId="0" applyNumberFormat="1" applyFont="1" applyBorder="1" applyAlignment="1">
      <alignment horizontal="left"/>
    </xf>
    <xf numFmtId="49" fontId="17" fillId="0" borderId="3" xfId="0" applyNumberFormat="1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17" fillId="0" borderId="4" xfId="4" applyFont="1" applyBorder="1"/>
    <xf numFmtId="1" fontId="17" fillId="0" borderId="4" xfId="0" applyNumberFormat="1" applyFont="1" applyBorder="1" applyAlignment="1">
      <alignment horizontal="right"/>
    </xf>
    <xf numFmtId="3" fontId="17" fillId="0" borderId="4" xfId="0" applyNumberFormat="1" applyFont="1" applyBorder="1" applyAlignment="1">
      <alignment horizontal="right"/>
    </xf>
    <xf numFmtId="4" fontId="17" fillId="0" borderId="4" xfId="0" applyNumberFormat="1" applyFont="1" applyBorder="1" applyAlignment="1">
      <alignment horizontal="right"/>
    </xf>
    <xf numFmtId="4" fontId="17" fillId="2" borderId="5" xfId="0" applyNumberFormat="1" applyFont="1" applyFill="1" applyBorder="1" applyAlignment="1">
      <alignment horizontal="right"/>
    </xf>
    <xf numFmtId="1" fontId="17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49" fontId="17" fillId="0" borderId="8" xfId="0" applyNumberFormat="1" applyFont="1" applyBorder="1" applyAlignment="1">
      <alignment horizontal="left"/>
    </xf>
    <xf numFmtId="0" fontId="22" fillId="0" borderId="9" xfId="4" applyFont="1" applyBorder="1" applyAlignment="1">
      <alignment horizontal="center"/>
    </xf>
    <xf numFmtId="0" fontId="17" fillId="0" borderId="9" xfId="4" applyFont="1" applyBorder="1"/>
    <xf numFmtId="1" fontId="17" fillId="0" borderId="9" xfId="0" applyNumberFormat="1" applyFont="1" applyBorder="1" applyAlignment="1">
      <alignment horizontal="right"/>
    </xf>
    <xf numFmtId="3" fontId="17" fillId="0" borderId="9" xfId="0" applyNumberFormat="1" applyFont="1" applyBorder="1" applyAlignment="1">
      <alignment horizontal="right"/>
    </xf>
    <xf numFmtId="4" fontId="17" fillId="0" borderId="9" xfId="0" applyNumberFormat="1" applyFont="1" applyBorder="1" applyAlignment="1">
      <alignment horizontal="right"/>
    </xf>
    <xf numFmtId="49" fontId="17" fillId="0" borderId="0" xfId="0" applyNumberFormat="1" applyFont="1" applyAlignment="1">
      <alignment horizontal="left"/>
    </xf>
    <xf numFmtId="0" fontId="20" fillId="0" borderId="0" xfId="0" applyFont="1" applyAlignment="1">
      <alignment vertical="center"/>
    </xf>
    <xf numFmtId="0" fontId="22" fillId="0" borderId="0" xfId="4" applyFont="1" applyAlignment="1">
      <alignment horizontal="center"/>
    </xf>
    <xf numFmtId="4" fontId="17" fillId="0" borderId="0" xfId="0" applyNumberFormat="1" applyFont="1" applyAlignment="1">
      <alignment horizontal="left"/>
    </xf>
    <xf numFmtId="164" fontId="17" fillId="2" borderId="0" xfId="0" applyNumberFormat="1" applyFont="1" applyFill="1" applyAlignment="1">
      <alignment horizontal="right"/>
    </xf>
    <xf numFmtId="0" fontId="22" fillId="0" borderId="4" xfId="4" applyFont="1" applyBorder="1" applyAlignment="1">
      <alignment horizontal="center"/>
    </xf>
    <xf numFmtId="4" fontId="17" fillId="0" borderId="4" xfId="0" applyNumberFormat="1" applyFont="1" applyBorder="1" applyAlignment="1">
      <alignment horizontal="left"/>
    </xf>
    <xf numFmtId="164" fontId="17" fillId="2" borderId="5" xfId="0" applyNumberFormat="1" applyFont="1" applyFill="1" applyBorder="1" applyAlignment="1">
      <alignment horizontal="right"/>
    </xf>
    <xf numFmtId="0" fontId="23" fillId="0" borderId="0" xfId="0" applyFont="1" applyAlignment="1">
      <alignment vertical="center"/>
    </xf>
    <xf numFmtId="164" fontId="17" fillId="2" borderId="7" xfId="0" applyNumberFormat="1" applyFont="1" applyFill="1" applyBorder="1" applyAlignment="1">
      <alignment horizontal="right"/>
    </xf>
    <xf numFmtId="49" fontId="17" fillId="0" borderId="3" xfId="0" applyNumberFormat="1" applyFont="1" applyBorder="1" applyAlignment="1">
      <alignment horizontal="center"/>
    </xf>
    <xf numFmtId="0" fontId="23" fillId="0" borderId="4" xfId="0" applyFont="1" applyBorder="1" applyAlignment="1">
      <alignment horizontal="right"/>
    </xf>
    <xf numFmtId="49" fontId="17" fillId="0" borderId="6" xfId="0" applyNumberFormat="1" applyFont="1" applyBorder="1" applyAlignment="1">
      <alignment horizontal="right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6" fillId="0" borderId="4" xfId="4" applyFont="1" applyBorder="1" applyAlignment="1">
      <alignment vertical="center"/>
    </xf>
    <xf numFmtId="0" fontId="15" fillId="0" borderId="4" xfId="4" applyFont="1" applyBorder="1" applyAlignment="1">
      <alignment vertical="center"/>
    </xf>
    <xf numFmtId="1" fontId="15" fillId="0" borderId="4" xfId="0" applyNumberFormat="1" applyFont="1" applyBorder="1" applyAlignment="1">
      <alignment horizontal="right" vertical="center"/>
    </xf>
    <xf numFmtId="1" fontId="16" fillId="0" borderId="4" xfId="0" applyNumberFormat="1" applyFont="1" applyBorder="1" applyAlignment="1">
      <alignment horizontal="right" vertical="center"/>
    </xf>
    <xf numFmtId="4" fontId="15" fillId="2" borderId="5" xfId="0" applyNumberFormat="1" applyFont="1" applyFill="1" applyBorder="1" applyAlignment="1">
      <alignment horizontal="right" vertical="center"/>
    </xf>
    <xf numFmtId="164" fontId="28" fillId="2" borderId="7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25" fillId="0" borderId="0" xfId="0" applyFont="1"/>
    <xf numFmtId="0" fontId="10" fillId="0" borderId="0" xfId="0" applyFont="1"/>
    <xf numFmtId="0" fontId="31" fillId="0" borderId="0" xfId="0" applyFont="1" applyAlignment="1">
      <alignment vertical="center"/>
    </xf>
    <xf numFmtId="0" fontId="17" fillId="0" borderId="0" xfId="4" applyFont="1" applyBorder="1"/>
    <xf numFmtId="1" fontId="17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4" fontId="17" fillId="0" borderId="0" xfId="0" applyNumberFormat="1" applyFont="1" applyBorder="1" applyAlignment="1">
      <alignment horizontal="right"/>
    </xf>
    <xf numFmtId="0" fontId="19" fillId="0" borderId="0" xfId="4" applyFont="1" applyBorder="1"/>
    <xf numFmtId="0" fontId="24" fillId="0" borderId="0" xfId="0" applyFont="1" applyBorder="1"/>
    <xf numFmtId="1" fontId="17" fillId="0" borderId="0" xfId="3" applyNumberFormat="1" applyFont="1" applyBorder="1" applyAlignment="1">
      <alignment horizontal="right"/>
    </xf>
    <xf numFmtId="0" fontId="15" fillId="0" borderId="0" xfId="4" applyFont="1" applyBorder="1" applyAlignment="1">
      <alignment horizontal="left"/>
    </xf>
    <xf numFmtId="0" fontId="21" fillId="0" borderId="8" xfId="4" applyFont="1" applyBorder="1" applyAlignment="1">
      <alignment horizontal="left" vertical="top"/>
    </xf>
    <xf numFmtId="0" fontId="23" fillId="0" borderId="9" xfId="0" applyFont="1" applyBorder="1" applyAlignment="1">
      <alignment vertical="center"/>
    </xf>
    <xf numFmtId="1" fontId="15" fillId="0" borderId="9" xfId="0" applyNumberFormat="1" applyFont="1" applyBorder="1" applyAlignment="1">
      <alignment horizontal="right" vertical="center"/>
    </xf>
    <xf numFmtId="0" fontId="23" fillId="0" borderId="9" xfId="0" applyFont="1" applyBorder="1" applyAlignment="1">
      <alignment horizontal="right" vertical="center"/>
    </xf>
    <xf numFmtId="3" fontId="23" fillId="0" borderId="9" xfId="0" applyNumberFormat="1" applyFont="1" applyBorder="1" applyAlignment="1">
      <alignment horizontal="right" vertical="center"/>
    </xf>
    <xf numFmtId="0" fontId="2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/>
    <xf numFmtId="164" fontId="24" fillId="2" borderId="10" xfId="0" applyNumberFormat="1" applyFont="1" applyFill="1" applyBorder="1" applyAlignment="1">
      <alignment horizontal="right"/>
    </xf>
    <xf numFmtId="0" fontId="29" fillId="0" borderId="9" xfId="0" applyFont="1" applyBorder="1" applyAlignment="1">
      <alignment vertical="center"/>
    </xf>
    <xf numFmtId="164" fontId="24" fillId="3" borderId="1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/>
    </xf>
    <xf numFmtId="164" fontId="11" fillId="0" borderId="0" xfId="0" applyNumberFormat="1" applyFont="1" applyAlignment="1">
      <alignment horizontal="center" vertical="center"/>
    </xf>
    <xf numFmtId="0" fontId="32" fillId="0" borderId="0" xfId="0" applyFont="1" applyBorder="1"/>
    <xf numFmtId="0" fontId="22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3" fontId="17" fillId="0" borderId="0" xfId="0" applyNumberFormat="1" applyFont="1" applyBorder="1" applyAlignment="1">
      <alignment horizontal="right"/>
    </xf>
    <xf numFmtId="49" fontId="15" fillId="0" borderId="3" xfId="0" applyNumberFormat="1" applyFont="1" applyBorder="1" applyAlignment="1">
      <alignment horizontal="left"/>
    </xf>
    <xf numFmtId="0" fontId="23" fillId="0" borderId="4" xfId="0" applyFont="1" applyBorder="1"/>
    <xf numFmtId="0" fontId="23" fillId="0" borderId="0" xfId="0" applyFont="1" applyBorder="1"/>
    <xf numFmtId="164" fontId="24" fillId="5" borderId="11" xfId="0" applyNumberFormat="1" applyFont="1" applyFill="1" applyBorder="1" applyAlignment="1">
      <alignment vertical="center"/>
    </xf>
    <xf numFmtId="164" fontId="24" fillId="5" borderId="12" xfId="0" applyNumberFormat="1" applyFont="1" applyFill="1" applyBorder="1" applyAlignment="1">
      <alignment vertical="center"/>
    </xf>
    <xf numFmtId="0" fontId="11" fillId="0" borderId="0" xfId="4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9" fontId="6" fillId="0" borderId="0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1" fontId="6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vertical="center"/>
    </xf>
    <xf numFmtId="4" fontId="15" fillId="2" borderId="0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Border="1" applyAlignment="1">
      <alignment horizontal="right"/>
    </xf>
    <xf numFmtId="164" fontId="24" fillId="2" borderId="0" xfId="0" applyNumberFormat="1" applyFont="1" applyFill="1" applyBorder="1" applyAlignment="1">
      <alignment horizontal="right"/>
    </xf>
    <xf numFmtId="4" fontId="17" fillId="2" borderId="0" xfId="0" applyNumberFormat="1" applyFont="1" applyFill="1" applyBorder="1" applyAlignment="1">
      <alignment horizontal="right"/>
    </xf>
    <xf numFmtId="164" fontId="28" fillId="2" borderId="0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4" fontId="25" fillId="6" borderId="0" xfId="0" applyNumberFormat="1" applyFont="1" applyFill="1" applyBorder="1" applyAlignment="1">
      <alignment horizontal="left"/>
    </xf>
    <xf numFmtId="0" fontId="33" fillId="0" borderId="20" xfId="4" applyFont="1" applyBorder="1" applyAlignment="1">
      <alignment horizontal="center" vertical="center" wrapText="1"/>
    </xf>
    <xf numFmtId="0" fontId="33" fillId="0" borderId="0" xfId="4" applyFont="1" applyBorder="1" applyAlignment="1">
      <alignment horizontal="center" vertical="center" wrapText="1"/>
    </xf>
    <xf numFmtId="164" fontId="24" fillId="6" borderId="0" xfId="0" applyNumberFormat="1" applyFont="1" applyFill="1" applyBorder="1" applyAlignment="1">
      <alignment horizontal="center" vertical="center"/>
    </xf>
    <xf numFmtId="0" fontId="11" fillId="0" borderId="0" xfId="4" applyFont="1" applyBorder="1" applyAlignment="1">
      <alignment vertical="center"/>
    </xf>
    <xf numFmtId="0" fontId="32" fillId="0" borderId="0" xfId="0" applyFont="1" applyBorder="1" applyAlignment="1">
      <alignment horizontal="right"/>
    </xf>
    <xf numFmtId="0" fontId="34" fillId="0" borderId="21" xfId="0" applyFont="1" applyBorder="1" applyAlignment="1">
      <alignment horizontal="left" vertical="top"/>
    </xf>
    <xf numFmtId="0" fontId="34" fillId="0" borderId="20" xfId="0" applyFont="1" applyFill="1" applyBorder="1" applyAlignment="1">
      <alignment horizontal="left" vertical="top"/>
    </xf>
    <xf numFmtId="4" fontId="16" fillId="0" borderId="4" xfId="0" applyNumberFormat="1" applyFont="1" applyBorder="1" applyAlignment="1">
      <alignment horizontal="right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4" xfId="0" applyNumberFormat="1" applyFont="1" applyBorder="1" applyAlignment="1">
      <alignment horizontal="center" vertical="center"/>
    </xf>
    <xf numFmtId="0" fontId="33" fillId="0" borderId="16" xfId="4" applyFont="1" applyBorder="1" applyAlignment="1">
      <alignment horizontal="center" vertical="center" wrapText="1"/>
    </xf>
    <xf numFmtId="0" fontId="33" fillId="0" borderId="17" xfId="4" applyFont="1" applyBorder="1" applyAlignment="1">
      <alignment horizontal="center" vertical="center"/>
    </xf>
    <xf numFmtId="0" fontId="33" fillId="0" borderId="18" xfId="4" applyFont="1" applyBorder="1" applyAlignment="1">
      <alignment horizontal="center" vertical="center"/>
    </xf>
    <xf numFmtId="0" fontId="33" fillId="0" borderId="8" xfId="4" applyFont="1" applyBorder="1" applyAlignment="1">
      <alignment horizontal="center" vertical="center"/>
    </xf>
    <xf numFmtId="0" fontId="33" fillId="0" borderId="9" xfId="4" applyFont="1" applyBorder="1" applyAlignment="1">
      <alignment horizontal="center" vertical="center"/>
    </xf>
    <xf numFmtId="0" fontId="33" fillId="0" borderId="19" xfId="4" applyFont="1" applyBorder="1" applyAlignment="1">
      <alignment horizontal="center" vertical="center"/>
    </xf>
    <xf numFmtId="0" fontId="33" fillId="0" borderId="18" xfId="4" applyFont="1" applyBorder="1" applyAlignment="1">
      <alignment horizontal="center" vertical="center" wrapText="1"/>
    </xf>
    <xf numFmtId="0" fontId="33" fillId="0" borderId="10" xfId="4" applyFont="1" applyBorder="1" applyAlignment="1">
      <alignment horizontal="center" vertical="center" wrapText="1"/>
    </xf>
    <xf numFmtId="0" fontId="33" fillId="0" borderId="13" xfId="4" applyFont="1" applyBorder="1" applyAlignment="1">
      <alignment horizontal="center" vertical="center" wrapText="1"/>
    </xf>
    <xf numFmtId="0" fontId="33" fillId="0" borderId="12" xfId="4" applyFont="1" applyBorder="1" applyAlignment="1">
      <alignment horizontal="center" vertical="center" wrapText="1"/>
    </xf>
    <xf numFmtId="164" fontId="24" fillId="4" borderId="13" xfId="0" applyNumberFormat="1" applyFont="1" applyFill="1" applyBorder="1" applyAlignment="1">
      <alignment horizontal="center" vertical="center"/>
    </xf>
    <xf numFmtId="164" fontId="24" fillId="4" borderId="12" xfId="0" applyNumberFormat="1" applyFont="1" applyFill="1" applyBorder="1" applyAlignment="1">
      <alignment horizontal="center" vertical="center"/>
    </xf>
    <xf numFmtId="0" fontId="11" fillId="0" borderId="0" xfId="4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indent="2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7" fillId="5" borderId="13" xfId="4" applyFont="1" applyFill="1" applyBorder="1" applyAlignment="1">
      <alignment horizontal="left" vertical="center" wrapText="1"/>
    </xf>
    <xf numFmtId="0" fontId="27" fillId="5" borderId="14" xfId="4" applyFont="1" applyFill="1" applyBorder="1" applyAlignment="1">
      <alignment horizontal="left" vertical="center" wrapText="1"/>
    </xf>
    <xf numFmtId="164" fontId="24" fillId="5" borderId="13" xfId="0" applyNumberFormat="1" applyFont="1" applyFill="1" applyBorder="1" applyAlignment="1">
      <alignment horizontal="center" vertical="center"/>
    </xf>
    <xf numFmtId="164" fontId="24" fillId="5" borderId="14" xfId="0" applyNumberFormat="1" applyFont="1" applyFill="1" applyBorder="1" applyAlignment="1">
      <alignment horizontal="center" vertical="center"/>
    </xf>
    <xf numFmtId="164" fontId="24" fillId="5" borderId="15" xfId="0" applyNumberFormat="1" applyFont="1" applyFill="1" applyBorder="1" applyAlignment="1">
      <alignment horizontal="center" vertical="center"/>
    </xf>
    <xf numFmtId="0" fontId="35" fillId="0" borderId="0" xfId="0" applyFont="1"/>
    <xf numFmtId="14" fontId="37" fillId="6" borderId="0" xfId="0" applyNumberFormat="1" applyFont="1" applyFill="1" applyBorder="1" applyAlignment="1">
      <alignment horizontal="left"/>
    </xf>
    <xf numFmtId="0" fontId="36" fillId="6" borderId="0" xfId="0" applyFont="1" applyFill="1" applyBorder="1" applyAlignment="1">
      <alignment horizontal="left" vertical="center" indent="1"/>
    </xf>
    <xf numFmtId="14" fontId="12" fillId="6" borderId="0" xfId="0" applyNumberFormat="1" applyFont="1" applyFill="1" applyBorder="1" applyAlignment="1">
      <alignment horizontal="left" vertical="center"/>
    </xf>
    <xf numFmtId="14" fontId="12" fillId="6" borderId="0" xfId="0" applyNumberFormat="1" applyFont="1" applyFill="1" applyBorder="1" applyAlignment="1">
      <alignment horizontal="right" vertical="center"/>
    </xf>
  </cellXfs>
  <cellStyles count="5">
    <cellStyle name="Normal" xfId="0" builtinId="0"/>
    <cellStyle name="Normal_276-300" xfId="1"/>
    <cellStyle name="Normal_BST 451-475" xfId="2"/>
    <cellStyle name="Normal_BST 526-550" xfId="3"/>
    <cellStyle name="Normal_ISITMA ÖZELLİKLER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40</xdr:row>
      <xdr:rowOff>108858</xdr:rowOff>
    </xdr:from>
    <xdr:to>
      <xdr:col>12</xdr:col>
      <xdr:colOff>625928</xdr:colOff>
      <xdr:row>43</xdr:row>
      <xdr:rowOff>95250</xdr:rowOff>
    </xdr:to>
    <xdr:pic>
      <xdr:nvPicPr>
        <xdr:cNvPr id="3" name="Resim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Texturizer/>
                  </a14:imgEffect>
                  <a14:imgEffect>
                    <a14:sharpenSoften amoun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98" t="1" r="167" b="877"/>
        <a:stretch/>
      </xdr:blipFill>
      <xdr:spPr>
        <a:xfrm>
          <a:off x="13607" y="18315215"/>
          <a:ext cx="16859250" cy="3075214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1</xdr:col>
      <xdr:colOff>108856</xdr:colOff>
      <xdr:row>90</xdr:row>
      <xdr:rowOff>111578</xdr:rowOff>
    </xdr:from>
    <xdr:to>
      <xdr:col>1</xdr:col>
      <xdr:colOff>734786</xdr:colOff>
      <xdr:row>93</xdr:row>
      <xdr:rowOff>138429</xdr:rowOff>
    </xdr:to>
    <xdr:pic>
      <xdr:nvPicPr>
        <xdr:cNvPr id="5" name="Resim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5" y="36497078"/>
          <a:ext cx="625930" cy="557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81643</xdr:colOff>
      <xdr:row>4</xdr:row>
      <xdr:rowOff>111580</xdr:rowOff>
    </xdr:from>
    <xdr:to>
      <xdr:col>12</xdr:col>
      <xdr:colOff>3402</xdr:colOff>
      <xdr:row>10</xdr:row>
      <xdr:rowOff>547007</xdr:rowOff>
    </xdr:to>
    <xdr:pic>
      <xdr:nvPicPr>
        <xdr:cNvPr id="8" name="Resim 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2533651"/>
          <a:ext cx="16168688" cy="2462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showZeros="0" tabSelected="1" showWhiteSpace="0" view="pageBreakPreview" topLeftCell="A60" zoomScale="55" zoomScaleNormal="100" zoomScaleSheetLayoutView="55" zoomScalePageLayoutView="40" workbookViewId="0">
      <selection activeCell="L72" sqref="L72"/>
    </sheetView>
  </sheetViews>
  <sheetFormatPr defaultColWidth="9.140625" defaultRowHeight="14.1" customHeight="1" x14ac:dyDescent="0.25"/>
  <cols>
    <col min="1" max="1" width="9.28515625" style="26" customWidth="1"/>
    <col min="2" max="2" width="11.5703125" style="31" customWidth="1"/>
    <col min="3" max="3" width="36.28515625" style="26" customWidth="1"/>
    <col min="4" max="4" width="20.7109375" style="26" customWidth="1"/>
    <col min="5" max="5" width="11.5703125" style="26" customWidth="1"/>
    <col min="6" max="6" width="12" style="28" customWidth="1"/>
    <col min="7" max="7" width="9.140625" style="29" customWidth="1"/>
    <col min="8" max="8" width="23.28515625" style="30" customWidth="1"/>
    <col min="9" max="9" width="6.5703125" style="29" customWidth="1"/>
    <col min="10" max="10" width="51.42578125" style="30" customWidth="1"/>
    <col min="11" max="11" width="20.42578125" style="30" customWidth="1"/>
    <col min="12" max="12" width="31" style="26" customWidth="1"/>
    <col min="13" max="13" width="10.42578125" style="26" customWidth="1"/>
    <col min="14" max="15" width="20.5703125" style="26" customWidth="1"/>
    <col min="16" max="16" width="15.140625" style="26" customWidth="1"/>
    <col min="17" max="17" width="13.7109375" style="26" customWidth="1"/>
    <col min="18" max="227" width="9.140625" style="26"/>
    <col min="228" max="228" width="10.7109375" style="26" customWidth="1"/>
    <col min="229" max="16384" width="9.140625" style="26"/>
  </cols>
  <sheetData>
    <row r="1" spans="2:13" s="5" customFormat="1" ht="156.75" customHeight="1" x14ac:dyDescent="0.25">
      <c r="B1" s="4"/>
      <c r="C1" s="4"/>
      <c r="F1" s="6"/>
      <c r="G1" s="1"/>
      <c r="H1" s="1"/>
      <c r="I1" s="1"/>
    </row>
    <row r="2" spans="2:13" s="5" customFormat="1" ht="16.5" customHeight="1" x14ac:dyDescent="0.25">
      <c r="B2" s="6"/>
      <c r="C2" s="6"/>
      <c r="D2" s="6"/>
      <c r="E2" s="6"/>
      <c r="F2" s="6"/>
      <c r="G2" s="1"/>
      <c r="H2" s="1"/>
      <c r="I2" s="1"/>
      <c r="J2" s="92"/>
      <c r="K2" s="92"/>
    </row>
    <row r="3" spans="2:13" s="5" customFormat="1" ht="18" hidden="1" customHeight="1" x14ac:dyDescent="0.25">
      <c r="B3" s="6"/>
      <c r="C3" s="6"/>
      <c r="D3" s="6"/>
      <c r="E3" s="6"/>
      <c r="F3" s="6"/>
      <c r="G3" s="1"/>
      <c r="H3" s="1"/>
      <c r="I3" s="1"/>
    </row>
    <row r="4" spans="2:13" s="5" customFormat="1" ht="18" customHeight="1" x14ac:dyDescent="0.25">
      <c r="B4" s="6"/>
      <c r="C4" s="6"/>
      <c r="D4" s="6"/>
      <c r="E4" s="6"/>
      <c r="F4" s="6"/>
      <c r="G4" s="1"/>
      <c r="H4" s="1"/>
      <c r="I4" s="1"/>
    </row>
    <row r="5" spans="2:13" s="5" customFormat="1" ht="22.5" customHeight="1" x14ac:dyDescent="0.25">
      <c r="B5" s="6"/>
      <c r="C5" s="6"/>
      <c r="D5" s="6"/>
      <c r="E5" s="6"/>
      <c r="F5" s="6"/>
      <c r="G5" s="1"/>
    </row>
    <row r="6" spans="2:13" s="5" customFormat="1" ht="33" customHeight="1" x14ac:dyDescent="0.25">
      <c r="B6" s="6"/>
      <c r="C6" s="6"/>
      <c r="D6" s="6"/>
      <c r="E6" s="6"/>
      <c r="F6" s="6"/>
      <c r="G6" s="7"/>
      <c r="H6" s="169" t="s">
        <v>4</v>
      </c>
      <c r="I6" s="169"/>
      <c r="J6" s="82" t="s">
        <v>21</v>
      </c>
      <c r="K6" s="82"/>
    </row>
    <row r="7" spans="2:13" s="5" customFormat="1" ht="36" customHeight="1" x14ac:dyDescent="0.25">
      <c r="B7" s="6"/>
      <c r="C7" s="6"/>
      <c r="D7" s="6"/>
      <c r="E7" s="6"/>
      <c r="F7" s="6"/>
      <c r="G7" s="1"/>
      <c r="H7" s="169" t="s">
        <v>3</v>
      </c>
      <c r="I7" s="169"/>
      <c r="J7" s="83">
        <v>2</v>
      </c>
      <c r="K7" s="83"/>
    </row>
    <row r="8" spans="2:13" s="5" customFormat="1" ht="22.5" customHeight="1" x14ac:dyDescent="0.25">
      <c r="B8" s="6"/>
      <c r="C8" s="6"/>
      <c r="D8" s="6"/>
      <c r="E8" s="6"/>
      <c r="F8" s="6"/>
      <c r="G8" s="1"/>
    </row>
    <row r="9" spans="2:13" s="5" customFormat="1" ht="22.5" customHeight="1" x14ac:dyDescent="0.25">
      <c r="B9" s="6"/>
      <c r="C9" s="6"/>
      <c r="D9" s="6"/>
      <c r="E9" s="6"/>
      <c r="F9" s="6"/>
      <c r="G9" s="1"/>
      <c r="H9" s="81"/>
    </row>
    <row r="10" spans="2:13" s="5" customFormat="1" ht="22.5" customHeight="1" x14ac:dyDescent="0.25">
      <c r="B10" s="6"/>
      <c r="C10" s="6"/>
      <c r="D10" s="6"/>
      <c r="E10" s="6"/>
      <c r="F10" s="6"/>
      <c r="G10" s="1"/>
      <c r="H10" s="80"/>
      <c r="I10" s="25"/>
      <c r="J10" s="95"/>
      <c r="K10" s="95"/>
    </row>
    <row r="11" spans="2:13" s="5" customFormat="1" ht="51" customHeight="1" x14ac:dyDescent="0.25">
      <c r="B11" s="6"/>
      <c r="C11" s="6"/>
      <c r="D11" s="6"/>
      <c r="E11" s="6"/>
      <c r="F11" s="6"/>
      <c r="G11" s="7"/>
      <c r="H11" s="171"/>
      <c r="I11" s="171"/>
      <c r="J11" s="171"/>
      <c r="K11" s="129"/>
      <c r="L11" s="95"/>
      <c r="M11" s="95"/>
    </row>
    <row r="12" spans="2:13" s="5" customFormat="1" ht="46.5" customHeight="1" x14ac:dyDescent="0.25">
      <c r="B12" s="170"/>
      <c r="C12" s="170"/>
      <c r="D12" s="170"/>
      <c r="E12" s="170"/>
      <c r="F12" s="170"/>
      <c r="G12" s="170"/>
      <c r="H12" s="170"/>
      <c r="I12" s="170"/>
      <c r="J12" s="170"/>
      <c r="K12" s="128"/>
    </row>
    <row r="13" spans="2:13" s="5" customFormat="1" ht="13.5" customHeight="1" x14ac:dyDescent="0.25">
      <c r="B13" s="8"/>
      <c r="C13" s="8"/>
      <c r="D13" s="9"/>
      <c r="E13" s="9"/>
      <c r="F13" s="9"/>
      <c r="G13" s="9"/>
      <c r="H13" s="9"/>
      <c r="I13" s="9"/>
    </row>
    <row r="14" spans="2:13" s="5" customFormat="1" ht="6" customHeight="1" x14ac:dyDescent="0.25">
      <c r="B14" s="10"/>
      <c r="C14" s="10"/>
      <c r="D14" s="11"/>
      <c r="E14" s="11"/>
      <c r="F14" s="11"/>
      <c r="G14" s="11"/>
      <c r="H14" s="11"/>
      <c r="I14" s="11"/>
      <c r="J14" s="12"/>
      <c r="K14" s="136"/>
    </row>
    <row r="15" spans="2:13" s="5" customFormat="1" ht="21" customHeight="1" x14ac:dyDescent="0.25">
      <c r="B15" s="13" t="s">
        <v>28</v>
      </c>
      <c r="C15" s="4"/>
      <c r="F15" s="6"/>
      <c r="G15" s="1"/>
      <c r="H15" s="1"/>
      <c r="I15" s="1"/>
      <c r="J15" s="4"/>
      <c r="K15" s="4"/>
    </row>
    <row r="16" spans="2:13" s="5" customFormat="1" ht="32.25" customHeight="1" x14ac:dyDescent="0.25">
      <c r="B16" s="14"/>
      <c r="C16" s="14"/>
      <c r="D16" s="14"/>
      <c r="F16" s="6"/>
      <c r="G16" s="42"/>
      <c r="H16" s="1"/>
      <c r="I16" s="1"/>
    </row>
    <row r="17" spans="2:11" s="38" customFormat="1" ht="32.25" customHeight="1" x14ac:dyDescent="0.2">
      <c r="B17" s="34" t="s">
        <v>8</v>
      </c>
      <c r="C17" s="34"/>
      <c r="D17" s="34"/>
      <c r="E17" s="35"/>
      <c r="F17" s="36"/>
      <c r="G17" s="37"/>
      <c r="H17" s="37"/>
      <c r="I17" s="37"/>
      <c r="J17" s="35"/>
      <c r="K17" s="137"/>
    </row>
    <row r="18" spans="2:11" s="5" customFormat="1" ht="32.25" customHeight="1" x14ac:dyDescent="0.25">
      <c r="B18" s="13" t="s">
        <v>2</v>
      </c>
      <c r="C18" s="4"/>
      <c r="F18" s="6"/>
      <c r="G18" s="1"/>
      <c r="H18" s="1"/>
      <c r="I18" s="1"/>
    </row>
    <row r="19" spans="2:11" s="5" customFormat="1" ht="32.25" customHeight="1" x14ac:dyDescent="0.25">
      <c r="B19" s="20" t="s">
        <v>23</v>
      </c>
      <c r="C19" s="20"/>
      <c r="D19" s="20"/>
      <c r="F19" s="6"/>
      <c r="G19" s="1"/>
      <c r="H19" s="1"/>
      <c r="I19" s="1"/>
    </row>
    <row r="20" spans="2:11" s="5" customFormat="1" ht="32.25" customHeight="1" x14ac:dyDescent="0.25">
      <c r="B20" s="20" t="s">
        <v>14</v>
      </c>
      <c r="C20" s="20"/>
      <c r="D20" s="20"/>
      <c r="F20" s="6"/>
      <c r="G20" s="1"/>
      <c r="H20" s="1"/>
      <c r="I20" s="1"/>
    </row>
    <row r="21" spans="2:11" s="5" customFormat="1" ht="32.25" customHeight="1" x14ac:dyDescent="0.25">
      <c r="B21" s="20" t="s">
        <v>15</v>
      </c>
      <c r="C21" s="20"/>
      <c r="D21" s="20"/>
      <c r="F21" s="6"/>
      <c r="G21" s="1"/>
      <c r="H21" s="1"/>
      <c r="I21" s="1"/>
    </row>
    <row r="22" spans="2:11" s="5" customFormat="1" ht="32.25" customHeight="1" x14ac:dyDescent="0.25">
      <c r="B22" s="20" t="s">
        <v>13</v>
      </c>
      <c r="C22" s="20"/>
      <c r="D22" s="20"/>
      <c r="F22" s="6"/>
      <c r="G22" s="1"/>
      <c r="H22" s="1"/>
      <c r="I22" s="1"/>
    </row>
    <row r="23" spans="2:11" s="5" customFormat="1" ht="32.25" customHeight="1" x14ac:dyDescent="0.25">
      <c r="B23" s="21"/>
      <c r="C23" s="21"/>
      <c r="D23" s="21"/>
      <c r="E23" s="15"/>
      <c r="F23" s="16"/>
      <c r="G23" s="17"/>
      <c r="H23" s="17"/>
      <c r="I23" s="17"/>
      <c r="J23" s="15"/>
      <c r="K23" s="136"/>
    </row>
    <row r="24" spans="2:11" s="5" customFormat="1" ht="32.25" customHeight="1" x14ac:dyDescent="0.25">
      <c r="B24" s="20"/>
      <c r="C24" s="20"/>
      <c r="D24" s="20"/>
      <c r="F24" s="6"/>
      <c r="G24" s="1"/>
      <c r="H24" s="1"/>
      <c r="I24" s="1"/>
    </row>
    <row r="25" spans="2:11" s="5" customFormat="1" ht="32.25" customHeight="1" x14ac:dyDescent="0.25">
      <c r="B25" s="13" t="s">
        <v>1</v>
      </c>
      <c r="C25" s="4"/>
      <c r="F25" s="6"/>
      <c r="G25" s="1"/>
      <c r="H25" s="1"/>
      <c r="I25" s="1"/>
    </row>
    <row r="26" spans="2:11" s="5" customFormat="1" ht="32.25" customHeight="1" x14ac:dyDescent="0.25">
      <c r="B26" s="4" t="s">
        <v>9</v>
      </c>
      <c r="C26" s="4"/>
      <c r="E26" s="5" t="s">
        <v>22</v>
      </c>
      <c r="F26" s="6"/>
      <c r="G26" s="1"/>
      <c r="H26" s="1"/>
      <c r="I26" s="1"/>
    </row>
    <row r="27" spans="2:11" s="38" customFormat="1" ht="32.25" customHeight="1" x14ac:dyDescent="0.2">
      <c r="B27" s="38" t="s">
        <v>12</v>
      </c>
      <c r="C27" s="39"/>
      <c r="E27" s="38" t="s">
        <v>26</v>
      </c>
      <c r="F27" s="40"/>
      <c r="G27" s="41"/>
      <c r="H27" s="41"/>
      <c r="I27" s="41"/>
    </row>
    <row r="28" spans="2:11" s="5" customFormat="1" ht="32.25" customHeight="1" x14ac:dyDescent="0.25">
      <c r="B28" s="12"/>
      <c r="C28" s="22"/>
      <c r="D28" s="12"/>
      <c r="E28" s="12"/>
      <c r="F28" s="18"/>
      <c r="G28" s="19"/>
      <c r="H28" s="19"/>
      <c r="I28" s="19"/>
      <c r="J28" s="12"/>
      <c r="K28" s="136"/>
    </row>
    <row r="29" spans="2:11" s="5" customFormat="1" ht="32.25" customHeight="1" x14ac:dyDescent="0.25">
      <c r="B29" s="13" t="s">
        <v>0</v>
      </c>
      <c r="C29" s="4"/>
      <c r="F29" s="6"/>
      <c r="G29" s="1"/>
      <c r="H29" s="1"/>
      <c r="I29" s="1"/>
      <c r="J29" s="4"/>
      <c r="K29" s="4"/>
    </row>
    <row r="30" spans="2:11" s="5" customFormat="1" ht="32.25" customHeight="1" x14ac:dyDescent="0.25">
      <c r="B30" s="23" t="s">
        <v>11</v>
      </c>
      <c r="C30" s="23"/>
      <c r="D30" s="23"/>
      <c r="F30" s="6"/>
      <c r="G30" s="1"/>
      <c r="H30" s="1"/>
      <c r="I30" s="1"/>
    </row>
    <row r="31" spans="2:11" s="5" customFormat="1" ht="32.25" customHeight="1" x14ac:dyDescent="0.25">
      <c r="B31" s="24"/>
      <c r="C31" s="24"/>
      <c r="D31" s="24"/>
      <c r="E31" s="15"/>
      <c r="F31" s="16"/>
      <c r="G31" s="17"/>
      <c r="H31" s="17"/>
      <c r="I31" s="17"/>
      <c r="J31" s="15"/>
      <c r="K31" s="136"/>
    </row>
    <row r="32" spans="2:11" ht="32.25" customHeight="1" x14ac:dyDescent="0.25">
      <c r="B32" s="94"/>
      <c r="C32" s="25"/>
      <c r="D32" s="2"/>
      <c r="E32" s="5"/>
      <c r="F32" s="26"/>
      <c r="G32" s="27"/>
      <c r="H32" s="26"/>
      <c r="I32" s="1"/>
      <c r="J32" s="26"/>
      <c r="K32" s="26"/>
    </row>
    <row r="33" spans="2:15" s="5" customFormat="1" ht="32.25" customHeight="1" x14ac:dyDescent="0.25">
      <c r="B33" s="93" t="s">
        <v>25</v>
      </c>
      <c r="F33" s="6"/>
      <c r="G33" s="1"/>
      <c r="H33" s="1"/>
      <c r="I33" s="1"/>
    </row>
    <row r="34" spans="2:15" s="5" customFormat="1" ht="20.25" customHeight="1" x14ac:dyDescent="0.25">
      <c r="B34" s="93" t="s">
        <v>24</v>
      </c>
      <c r="C34" s="93"/>
      <c r="F34" s="6"/>
      <c r="G34" s="1"/>
      <c r="H34" s="1"/>
      <c r="I34" s="1"/>
    </row>
    <row r="35" spans="2:15" s="5" customFormat="1" ht="58.5" customHeight="1" x14ac:dyDescent="0.25">
      <c r="F35" s="6"/>
      <c r="G35" s="1"/>
      <c r="H35" s="1"/>
      <c r="I35" s="1"/>
    </row>
    <row r="36" spans="2:15" s="5" customFormat="1" ht="21" customHeight="1" x14ac:dyDescent="0.25">
      <c r="B36" s="4"/>
      <c r="C36" s="4"/>
      <c r="D36" s="4"/>
      <c r="E36" s="3"/>
      <c r="F36" s="6"/>
      <c r="G36" s="1"/>
      <c r="H36" s="1"/>
      <c r="I36" s="1"/>
    </row>
    <row r="37" spans="2:15" s="5" customFormat="1" ht="13.5" customHeight="1" x14ac:dyDescent="0.25">
      <c r="F37" s="6"/>
      <c r="G37" s="1"/>
      <c r="H37" s="1"/>
      <c r="I37" s="1"/>
    </row>
    <row r="38" spans="2:15" s="5" customFormat="1" ht="15.75" customHeight="1" x14ac:dyDescent="0.25">
      <c r="B38" s="20"/>
      <c r="C38" s="20"/>
      <c r="E38" s="20"/>
      <c r="F38" s="6"/>
      <c r="J38" s="20"/>
      <c r="K38" s="20"/>
    </row>
    <row r="39" spans="2:15" s="5" customFormat="1" ht="22.5" customHeight="1" x14ac:dyDescent="0.25">
      <c r="B39" s="20"/>
      <c r="C39" s="20"/>
      <c r="E39" s="20"/>
      <c r="F39" s="6"/>
      <c r="J39" s="20"/>
      <c r="K39" s="20"/>
    </row>
    <row r="40" spans="2:15" s="5" customFormat="1" ht="212.25" customHeight="1" x14ac:dyDescent="0.25">
      <c r="B40" s="4"/>
      <c r="E40" s="3"/>
      <c r="G40" s="1"/>
      <c r="H40" s="1"/>
      <c r="I40" s="1"/>
    </row>
    <row r="41" spans="2:15" s="5" customFormat="1" ht="179.25" customHeight="1" x14ac:dyDescent="0.25">
      <c r="B41" s="4"/>
      <c r="E41" s="3"/>
      <c r="G41" s="1"/>
      <c r="H41" s="1"/>
      <c r="I41" s="1"/>
    </row>
    <row r="42" spans="2:15" s="5" customFormat="1" ht="33" customHeight="1" x14ac:dyDescent="0.25">
      <c r="B42" s="115"/>
      <c r="C42" s="4"/>
      <c r="E42" s="3"/>
      <c r="F42" s="6"/>
      <c r="G42" s="1"/>
      <c r="H42" s="1"/>
      <c r="I42" s="1"/>
    </row>
    <row r="43" spans="2:15" s="5" customFormat="1" ht="30.75" customHeight="1" x14ac:dyDescent="0.25">
      <c r="B43" s="115"/>
      <c r="C43" s="4"/>
      <c r="E43" s="3"/>
      <c r="F43" s="6"/>
      <c r="G43" s="1"/>
      <c r="H43" s="1"/>
      <c r="I43" s="1"/>
      <c r="O43" s="144"/>
    </row>
    <row r="44" spans="2:15" s="5" customFormat="1" ht="33" customHeight="1" x14ac:dyDescent="0.25">
      <c r="B44" s="115"/>
      <c r="C44" s="4"/>
      <c r="E44" s="3"/>
      <c r="F44" s="6"/>
      <c r="G44" s="1"/>
      <c r="H44" s="1"/>
      <c r="I44" s="1"/>
      <c r="K44" s="177"/>
      <c r="L44" s="177"/>
      <c r="M44" s="177"/>
    </row>
    <row r="45" spans="2:15" s="5" customFormat="1" ht="33" customHeight="1" thickBot="1" x14ac:dyDescent="0.3">
      <c r="B45" s="115"/>
      <c r="C45" s="4"/>
      <c r="E45" s="3"/>
      <c r="F45" s="6"/>
      <c r="G45" s="1"/>
      <c r="H45" s="1"/>
      <c r="I45" s="1"/>
      <c r="J45" s="181">
        <f ca="1">TODAY()</f>
        <v>45921</v>
      </c>
      <c r="K45" s="179"/>
      <c r="L45" s="180">
        <f ca="1">TODAY()</f>
        <v>45921</v>
      </c>
      <c r="M45" s="178"/>
    </row>
    <row r="46" spans="2:15" s="84" customFormat="1" ht="41.45" customHeight="1" thickBot="1" x14ac:dyDescent="0.25">
      <c r="B46" s="85"/>
      <c r="C46" s="86" t="s">
        <v>5</v>
      </c>
      <c r="D46" s="87"/>
      <c r="E46" s="87"/>
      <c r="F46" s="88"/>
      <c r="G46" s="89"/>
      <c r="H46" s="152"/>
      <c r="I46" s="152"/>
      <c r="J46" s="90">
        <f t="shared" ref="J46" si="0">F46*H46</f>
        <v>0</v>
      </c>
      <c r="K46" s="138"/>
    </row>
    <row r="47" spans="2:15" ht="31.5" hidden="1" customHeight="1" thickBot="1" x14ac:dyDescent="0.3">
      <c r="B47" s="67"/>
      <c r="C47" s="68"/>
      <c r="D47" s="69"/>
      <c r="E47" s="48"/>
      <c r="F47" s="58"/>
      <c r="G47" s="59"/>
      <c r="H47" s="60"/>
      <c r="I47" s="70"/>
      <c r="J47" s="71"/>
      <c r="K47" s="71"/>
      <c r="L47" s="5"/>
      <c r="M47" s="5"/>
    </row>
    <row r="48" spans="2:15" ht="31.5" customHeight="1" x14ac:dyDescent="0.25">
      <c r="B48" s="51"/>
      <c r="C48" s="52" t="s">
        <v>38</v>
      </c>
      <c r="D48" s="72"/>
      <c r="E48" s="53"/>
      <c r="F48" s="54"/>
      <c r="G48" s="55"/>
      <c r="H48" s="56"/>
      <c r="I48" s="73"/>
      <c r="J48" s="74"/>
      <c r="K48" s="139"/>
      <c r="L48" s="5"/>
      <c r="M48" s="5"/>
    </row>
    <row r="49" spans="2:13" ht="31.5" customHeight="1" x14ac:dyDescent="0.25">
      <c r="B49" s="47"/>
      <c r="C49" s="75" t="s">
        <v>36</v>
      </c>
      <c r="D49" s="69"/>
      <c r="E49" s="48"/>
      <c r="F49" s="58"/>
      <c r="G49" s="59"/>
      <c r="H49" s="60"/>
      <c r="I49" s="70"/>
      <c r="J49" s="76"/>
      <c r="K49" s="139"/>
      <c r="L49" s="130"/>
      <c r="M49" s="130"/>
    </row>
    <row r="50" spans="2:13" ht="31.5" customHeight="1" x14ac:dyDescent="0.25">
      <c r="B50" s="47"/>
      <c r="C50" s="75" t="s">
        <v>37</v>
      </c>
      <c r="D50" s="69"/>
      <c r="E50" s="48"/>
      <c r="F50" s="58"/>
      <c r="G50" s="59"/>
      <c r="H50" s="60"/>
      <c r="I50" s="70"/>
      <c r="J50" s="76"/>
      <c r="K50" s="139"/>
      <c r="L50" s="39"/>
      <c r="M50" s="39"/>
    </row>
    <row r="51" spans="2:13" ht="31.5" customHeight="1" thickBot="1" x14ac:dyDescent="0.3">
      <c r="B51" s="61"/>
      <c r="C51" s="113" t="s">
        <v>34</v>
      </c>
      <c r="D51" s="62"/>
      <c r="E51" s="63"/>
      <c r="F51" s="64"/>
      <c r="G51" s="65"/>
      <c r="H51" s="66"/>
      <c r="I51" s="50"/>
      <c r="J51" s="112">
        <v>39000</v>
      </c>
      <c r="K51" s="140"/>
      <c r="L51" s="130"/>
      <c r="M51" s="130"/>
    </row>
    <row r="52" spans="2:13" ht="31.5" customHeight="1" x14ac:dyDescent="0.25">
      <c r="B52" s="51"/>
      <c r="C52" s="52" t="s">
        <v>49</v>
      </c>
      <c r="D52" s="72"/>
      <c r="E52" s="53"/>
      <c r="F52" s="54"/>
      <c r="G52" s="55"/>
      <c r="H52" s="56"/>
      <c r="I52" s="73"/>
      <c r="J52" s="74"/>
      <c r="K52" s="139"/>
      <c r="L52" s="130"/>
      <c r="M52" s="130"/>
    </row>
    <row r="53" spans="2:13" ht="31.5" customHeight="1" x14ac:dyDescent="0.25">
      <c r="B53" s="47"/>
      <c r="C53" s="75" t="s">
        <v>33</v>
      </c>
      <c r="D53" s="69"/>
      <c r="E53" s="48"/>
      <c r="F53" s="58"/>
      <c r="G53" s="59"/>
      <c r="H53" s="60"/>
      <c r="I53" s="70"/>
      <c r="J53" s="76"/>
      <c r="K53" s="139"/>
      <c r="L53" s="130"/>
      <c r="M53" s="130"/>
    </row>
    <row r="54" spans="2:13" ht="31.5" customHeight="1" x14ac:dyDescent="0.25">
      <c r="B54" s="47"/>
      <c r="C54" s="75" t="s">
        <v>27</v>
      </c>
      <c r="D54" s="69"/>
      <c r="E54" s="48"/>
      <c r="F54" s="58"/>
      <c r="G54" s="59"/>
      <c r="H54" s="60"/>
      <c r="I54" s="70"/>
      <c r="J54" s="76"/>
      <c r="K54" s="139"/>
      <c r="L54" s="130"/>
      <c r="M54" s="130"/>
    </row>
    <row r="55" spans="2:13" ht="31.5" customHeight="1" thickBot="1" x14ac:dyDescent="0.3">
      <c r="B55" s="61"/>
      <c r="C55" s="113" t="s">
        <v>35</v>
      </c>
      <c r="D55" s="62"/>
      <c r="E55" s="63"/>
      <c r="F55" s="64"/>
      <c r="G55" s="65"/>
      <c r="H55" s="66"/>
      <c r="I55" s="50"/>
      <c r="J55" s="112">
        <v>64000</v>
      </c>
      <c r="K55" s="140"/>
      <c r="L55" s="130"/>
      <c r="M55" s="130"/>
    </row>
    <row r="56" spans="2:13" ht="31.5" customHeight="1" x14ac:dyDescent="0.25">
      <c r="B56" s="51"/>
      <c r="C56" s="52" t="s">
        <v>39</v>
      </c>
      <c r="D56" s="72"/>
      <c r="E56" s="53"/>
      <c r="F56" s="54"/>
      <c r="G56" s="55"/>
      <c r="H56" s="56"/>
      <c r="I56" s="73"/>
      <c r="J56" s="74"/>
      <c r="K56" s="139"/>
      <c r="L56" s="130"/>
      <c r="M56" s="130"/>
    </row>
    <row r="57" spans="2:13" ht="31.5" customHeight="1" x14ac:dyDescent="0.25">
      <c r="B57" s="47"/>
      <c r="C57" s="75" t="s">
        <v>40</v>
      </c>
      <c r="D57" s="69"/>
      <c r="E57" s="48"/>
      <c r="F57" s="58"/>
      <c r="G57" s="59"/>
      <c r="H57" s="60"/>
      <c r="I57" s="70"/>
      <c r="J57" s="76"/>
      <c r="K57" s="139"/>
      <c r="L57" s="130"/>
      <c r="M57" s="130"/>
    </row>
    <row r="58" spans="2:13" ht="31.5" customHeight="1" x14ac:dyDescent="0.25">
      <c r="B58" s="47"/>
      <c r="C58" s="118" t="s">
        <v>44</v>
      </c>
      <c r="D58" s="69"/>
      <c r="E58" s="48"/>
      <c r="F58" s="58"/>
      <c r="G58" s="59"/>
      <c r="H58" s="60"/>
      <c r="I58" s="70"/>
      <c r="J58" s="76"/>
      <c r="K58" s="139"/>
      <c r="L58" s="130"/>
      <c r="M58" s="130"/>
    </row>
    <row r="59" spans="2:13" ht="31.5" customHeight="1" x14ac:dyDescent="0.25">
      <c r="B59" s="47"/>
      <c r="C59" s="118" t="s">
        <v>41</v>
      </c>
      <c r="D59" s="69"/>
      <c r="E59" s="48"/>
      <c r="F59" s="58"/>
      <c r="G59" s="59"/>
      <c r="H59" s="60"/>
      <c r="I59" s="70"/>
      <c r="J59" s="76"/>
      <c r="K59" s="139"/>
      <c r="L59" s="130"/>
      <c r="M59" s="130"/>
    </row>
    <row r="60" spans="2:13" ht="31.5" customHeight="1" x14ac:dyDescent="0.25">
      <c r="B60" s="47"/>
      <c r="C60" s="119" t="s">
        <v>42</v>
      </c>
      <c r="D60" s="69"/>
      <c r="E60" s="48"/>
      <c r="F60" s="58"/>
      <c r="G60" s="59"/>
      <c r="H60" s="60"/>
      <c r="I60" s="70"/>
      <c r="J60" s="76"/>
      <c r="K60" s="139"/>
      <c r="L60" s="130"/>
      <c r="M60" s="130"/>
    </row>
    <row r="61" spans="2:13" ht="21.75" customHeight="1" thickBot="1" x14ac:dyDescent="0.3">
      <c r="B61" s="61"/>
      <c r="C61" s="113"/>
      <c r="D61" s="62"/>
      <c r="E61" s="63"/>
      <c r="F61" s="64"/>
      <c r="G61" s="65"/>
      <c r="H61" s="66"/>
      <c r="I61" s="50"/>
      <c r="J61" s="112">
        <v>88900</v>
      </c>
      <c r="K61" s="140"/>
      <c r="L61" s="130"/>
      <c r="M61" s="130"/>
    </row>
    <row r="62" spans="2:13" ht="31.5" customHeight="1" x14ac:dyDescent="0.25">
      <c r="B62" s="51"/>
      <c r="C62" s="52" t="s">
        <v>43</v>
      </c>
      <c r="D62" s="72"/>
      <c r="E62" s="53"/>
      <c r="F62" s="54"/>
      <c r="G62" s="55"/>
      <c r="H62" s="56"/>
      <c r="I62" s="73"/>
      <c r="J62" s="74"/>
      <c r="K62" s="139"/>
      <c r="L62" s="130"/>
      <c r="M62" s="130"/>
    </row>
    <row r="63" spans="2:13" ht="31.5" customHeight="1" x14ac:dyDescent="0.25">
      <c r="B63" s="47"/>
      <c r="C63" s="75" t="s">
        <v>40</v>
      </c>
      <c r="D63" s="69"/>
      <c r="E63" s="48"/>
      <c r="F63" s="58"/>
      <c r="G63" s="59"/>
      <c r="H63" s="60"/>
      <c r="I63" s="70"/>
      <c r="J63" s="76"/>
      <c r="K63" s="139"/>
      <c r="L63" s="130"/>
      <c r="M63" s="130"/>
    </row>
    <row r="64" spans="2:13" ht="31.5" customHeight="1" x14ac:dyDescent="0.25">
      <c r="B64" s="47"/>
      <c r="C64" s="118" t="s">
        <v>48</v>
      </c>
      <c r="D64" s="69"/>
      <c r="E64" s="48"/>
      <c r="F64" s="58"/>
      <c r="G64" s="59"/>
      <c r="H64" s="60"/>
      <c r="I64" s="70"/>
      <c r="J64" s="76"/>
      <c r="K64" s="139"/>
      <c r="L64" s="130"/>
      <c r="M64" s="130"/>
    </row>
    <row r="65" spans="1:13" ht="31.5" customHeight="1" x14ac:dyDescent="0.25">
      <c r="B65" s="47"/>
      <c r="C65" s="118" t="s">
        <v>45</v>
      </c>
      <c r="D65" s="69"/>
      <c r="E65" s="48"/>
      <c r="F65" s="58"/>
      <c r="G65" s="59"/>
      <c r="H65" s="60"/>
      <c r="I65" s="70"/>
      <c r="J65" s="76"/>
      <c r="K65" s="139"/>
      <c r="L65" s="130"/>
      <c r="M65" s="130"/>
    </row>
    <row r="66" spans="1:13" ht="31.5" customHeight="1" x14ac:dyDescent="0.25">
      <c r="B66" s="47"/>
      <c r="C66" s="119" t="s">
        <v>42</v>
      </c>
      <c r="D66" s="69"/>
      <c r="E66" s="48"/>
      <c r="F66" s="58"/>
      <c r="G66" s="59"/>
      <c r="H66" s="60"/>
      <c r="I66" s="70"/>
      <c r="J66" s="76"/>
      <c r="K66" s="139"/>
      <c r="L66" s="130"/>
      <c r="M66" s="130"/>
    </row>
    <row r="67" spans="1:13" ht="23.25" customHeight="1" thickBot="1" x14ac:dyDescent="0.3">
      <c r="B67" s="61"/>
      <c r="C67" s="113"/>
      <c r="D67" s="62"/>
      <c r="E67" s="63"/>
      <c r="F67" s="64"/>
      <c r="G67" s="65"/>
      <c r="H67" s="66"/>
      <c r="I67" s="50"/>
      <c r="J67" s="112">
        <v>79850</v>
      </c>
      <c r="K67" s="140"/>
      <c r="L67" s="130"/>
      <c r="M67" s="130"/>
    </row>
    <row r="68" spans="1:13" ht="31.5" hidden="1" customHeight="1" x14ac:dyDescent="0.3">
      <c r="B68" s="47"/>
      <c r="C68" s="75" t="s">
        <v>40</v>
      </c>
      <c r="D68" s="69"/>
      <c r="E68" s="48"/>
      <c r="F68" s="58"/>
      <c r="G68" s="59"/>
      <c r="H68" s="60"/>
      <c r="I68" s="70"/>
      <c r="J68" s="76"/>
      <c r="K68" s="139"/>
      <c r="L68" s="130"/>
      <c r="M68" s="130"/>
    </row>
    <row r="69" spans="1:13" ht="31.5" hidden="1" customHeight="1" x14ac:dyDescent="0.3">
      <c r="B69" s="47"/>
      <c r="C69" s="118" t="s">
        <v>47</v>
      </c>
      <c r="D69" s="69"/>
      <c r="E69" s="48"/>
      <c r="F69" s="58"/>
      <c r="G69" s="59"/>
      <c r="H69" s="60"/>
      <c r="I69" s="70"/>
      <c r="J69" s="76"/>
      <c r="K69" s="139"/>
      <c r="L69" s="130"/>
      <c r="M69" s="130"/>
    </row>
    <row r="70" spans="1:13" ht="31.5" hidden="1" customHeight="1" x14ac:dyDescent="0.3">
      <c r="B70" s="47"/>
      <c r="C70" s="118" t="s">
        <v>46</v>
      </c>
      <c r="D70" s="69"/>
      <c r="E70" s="48"/>
      <c r="F70" s="58"/>
      <c r="G70" s="59"/>
      <c r="H70" s="60"/>
      <c r="I70" s="70"/>
      <c r="J70" s="76"/>
      <c r="K70" s="139"/>
      <c r="L70" s="130"/>
      <c r="M70" s="130"/>
    </row>
    <row r="71" spans="1:13" ht="26.25" hidden="1" customHeight="1" thickBot="1" x14ac:dyDescent="0.3">
      <c r="B71" s="61"/>
      <c r="C71" s="113"/>
      <c r="D71" s="62"/>
      <c r="E71" s="63"/>
      <c r="F71" s="64"/>
      <c r="G71" s="65"/>
      <c r="H71" s="66"/>
      <c r="I71" s="50"/>
      <c r="J71" s="112">
        <v>0</v>
      </c>
      <c r="K71" s="140"/>
      <c r="L71" s="130"/>
      <c r="M71" s="130"/>
    </row>
    <row r="72" spans="1:13" ht="31.5" customHeight="1" x14ac:dyDescent="0.25">
      <c r="B72" s="121"/>
      <c r="C72" s="122" t="s">
        <v>29</v>
      </c>
      <c r="D72" s="53"/>
      <c r="E72" s="53"/>
      <c r="F72" s="54"/>
      <c r="G72" s="55"/>
      <c r="H72" s="56"/>
      <c r="I72" s="56"/>
      <c r="J72" s="57"/>
      <c r="K72" s="141"/>
      <c r="L72" s="130"/>
      <c r="M72" s="130"/>
    </row>
    <row r="73" spans="1:13" ht="31.5" customHeight="1" x14ac:dyDescent="0.25">
      <c r="B73" s="47"/>
      <c r="C73" s="123" t="s">
        <v>20</v>
      </c>
      <c r="D73" s="96"/>
      <c r="E73" s="96"/>
      <c r="F73" s="97"/>
      <c r="G73" s="120"/>
      <c r="H73" s="99"/>
      <c r="I73" s="99"/>
      <c r="J73" s="49"/>
      <c r="K73" s="141"/>
      <c r="L73" s="130"/>
      <c r="M73" s="130"/>
    </row>
    <row r="74" spans="1:13" ht="26.25" customHeight="1" thickBot="1" x14ac:dyDescent="0.3">
      <c r="B74" s="61"/>
      <c r="C74" s="113" t="s">
        <v>51</v>
      </c>
      <c r="D74" s="62"/>
      <c r="E74" s="63"/>
      <c r="F74" s="64"/>
      <c r="G74" s="65"/>
      <c r="H74" s="66"/>
      <c r="I74" s="50"/>
      <c r="J74" s="112">
        <v>22750</v>
      </c>
      <c r="K74" s="140"/>
      <c r="L74" s="130"/>
      <c r="M74" s="130"/>
    </row>
    <row r="75" spans="1:13" ht="87" customHeight="1" thickBot="1" x14ac:dyDescent="0.3">
      <c r="B75" s="153" t="s">
        <v>53</v>
      </c>
      <c r="C75" s="154"/>
      <c r="D75" s="154"/>
      <c r="E75" s="154"/>
      <c r="F75" s="154"/>
      <c r="G75" s="154"/>
      <c r="H75" s="154"/>
      <c r="I75" s="154"/>
      <c r="J75" s="91">
        <f>J74+J71+J67+J61+J55+J51</f>
        <v>294500</v>
      </c>
      <c r="K75" s="142"/>
      <c r="L75" s="131"/>
      <c r="M75" s="131"/>
    </row>
    <row r="76" spans="1:13" ht="31.5" customHeight="1" x14ac:dyDescent="0.25">
      <c r="B76" s="77" t="s">
        <v>16</v>
      </c>
      <c r="C76" s="52" t="s">
        <v>6</v>
      </c>
      <c r="D76" s="53"/>
      <c r="E76" s="53"/>
      <c r="F76" s="54"/>
      <c r="G76" s="78"/>
      <c r="H76" s="56"/>
      <c r="I76" s="56"/>
      <c r="J76" s="57"/>
      <c r="K76" s="141"/>
      <c r="L76" s="3"/>
      <c r="M76" s="3"/>
    </row>
    <row r="77" spans="1:13" ht="31.5" hidden="1" customHeight="1" x14ac:dyDescent="0.25">
      <c r="B77" s="47"/>
      <c r="C77" s="100"/>
      <c r="D77" s="96"/>
      <c r="E77" s="101"/>
      <c r="F77" s="102"/>
      <c r="G77" s="98"/>
      <c r="H77" s="99"/>
      <c r="I77" s="99"/>
      <c r="J77" s="49"/>
      <c r="K77" s="141"/>
      <c r="L77" s="5"/>
      <c r="M77" s="5"/>
    </row>
    <row r="78" spans="1:13" ht="31.5" customHeight="1" x14ac:dyDescent="0.25">
      <c r="B78" s="79" t="s">
        <v>7</v>
      </c>
      <c r="C78" s="103" t="s">
        <v>10</v>
      </c>
      <c r="D78" s="96"/>
      <c r="E78" s="96"/>
      <c r="F78" s="97"/>
      <c r="G78" s="98"/>
      <c r="H78" s="99"/>
      <c r="I78" s="99"/>
      <c r="J78" s="49"/>
      <c r="K78" s="141"/>
      <c r="L78" s="5"/>
      <c r="M78" s="5"/>
    </row>
    <row r="79" spans="1:13" s="33" customFormat="1" ht="18.75" customHeight="1" thickBot="1" x14ac:dyDescent="0.25">
      <c r="A79" s="32"/>
      <c r="B79" s="104"/>
      <c r="C79" s="105"/>
      <c r="D79" s="105"/>
      <c r="E79" s="106"/>
      <c r="F79" s="107"/>
      <c r="G79" s="108"/>
      <c r="H79" s="107"/>
      <c r="I79" s="108"/>
      <c r="J79" s="109"/>
      <c r="K79" s="143"/>
      <c r="L79" s="110"/>
      <c r="M79" s="110"/>
    </row>
    <row r="80" spans="1:13" s="46" customFormat="1" ht="99.75" customHeight="1" thickBot="1" x14ac:dyDescent="0.25">
      <c r="A80" s="45"/>
      <c r="B80" s="155" t="s">
        <v>17</v>
      </c>
      <c r="C80" s="156"/>
      <c r="D80" s="157"/>
      <c r="E80" s="158" t="s">
        <v>18</v>
      </c>
      <c r="F80" s="159"/>
      <c r="G80" s="160"/>
      <c r="H80" s="161" t="s">
        <v>19</v>
      </c>
      <c r="I80" s="162"/>
      <c r="J80" s="145" t="s">
        <v>32</v>
      </c>
      <c r="K80" s="163" t="s">
        <v>31</v>
      </c>
      <c r="L80" s="164"/>
      <c r="M80" s="146"/>
    </row>
    <row r="81" spans="1:13" s="33" customFormat="1" ht="82.5" customHeight="1" thickBot="1" x14ac:dyDescent="0.25">
      <c r="A81" s="32"/>
      <c r="B81" s="172" t="s">
        <v>50</v>
      </c>
      <c r="C81" s="173"/>
      <c r="D81" s="173"/>
      <c r="E81" s="174">
        <v>128000</v>
      </c>
      <c r="F81" s="175"/>
      <c r="G81" s="176"/>
      <c r="H81" s="124">
        <f>J75</f>
        <v>294500</v>
      </c>
      <c r="I81" s="125"/>
      <c r="J81" s="114">
        <f>E81+H81</f>
        <v>422500</v>
      </c>
      <c r="K81" s="165">
        <f>J81+16750</f>
        <v>439250</v>
      </c>
      <c r="L81" s="166"/>
      <c r="M81" s="147"/>
    </row>
    <row r="82" spans="1:13" ht="14.1" customHeight="1" x14ac:dyDescent="0.25">
      <c r="B82" s="167"/>
      <c r="C82" s="167"/>
      <c r="D82" s="43"/>
      <c r="E82" s="168"/>
      <c r="F82" s="168"/>
      <c r="G82" s="168"/>
      <c r="H82" s="168"/>
      <c r="I82" s="168"/>
      <c r="J82" s="44"/>
      <c r="K82" s="127"/>
    </row>
    <row r="83" spans="1:13" ht="14.1" customHeight="1" x14ac:dyDescent="0.25">
      <c r="B83" s="167"/>
      <c r="C83" s="167"/>
      <c r="D83" s="43"/>
      <c r="E83" s="168"/>
      <c r="F83" s="168"/>
      <c r="G83" s="168"/>
      <c r="H83" s="168"/>
      <c r="I83" s="168"/>
      <c r="J83" s="116"/>
      <c r="K83" s="127"/>
    </row>
    <row r="84" spans="1:13" ht="14.1" customHeight="1" x14ac:dyDescent="0.25">
      <c r="B84" s="126"/>
      <c r="C84" s="126"/>
      <c r="D84" s="43"/>
      <c r="E84" s="127"/>
      <c r="F84" s="127"/>
      <c r="G84" s="127"/>
      <c r="H84" s="127"/>
      <c r="I84" s="127"/>
      <c r="J84" s="127"/>
      <c r="K84" s="127"/>
    </row>
    <row r="85" spans="1:13" ht="14.1" customHeight="1" x14ac:dyDescent="0.25">
      <c r="B85" s="126"/>
      <c r="C85" s="126"/>
      <c r="D85" s="43"/>
      <c r="E85" s="127"/>
      <c r="F85" s="127"/>
      <c r="G85" s="127"/>
      <c r="H85" s="127"/>
      <c r="I85" s="127"/>
      <c r="J85" s="127"/>
      <c r="K85" s="127"/>
    </row>
    <row r="86" spans="1:13" ht="13.5" customHeight="1" x14ac:dyDescent="0.25">
      <c r="B86" s="126"/>
      <c r="C86" s="126"/>
      <c r="D86" s="148"/>
      <c r="E86" s="127"/>
      <c r="F86" s="127"/>
      <c r="G86" s="127"/>
      <c r="H86" s="127"/>
      <c r="I86" s="127"/>
      <c r="J86" s="127"/>
      <c r="K86" s="127"/>
    </row>
    <row r="87" spans="1:13" ht="13.5" customHeight="1" x14ac:dyDescent="0.25">
      <c r="B87" s="126"/>
      <c r="C87" s="126"/>
      <c r="D87" s="148"/>
      <c r="E87" s="127"/>
      <c r="F87" s="127"/>
      <c r="G87" s="127"/>
      <c r="H87" s="127"/>
      <c r="I87" s="127"/>
      <c r="J87" s="127"/>
      <c r="K87" s="127"/>
    </row>
    <row r="88" spans="1:13" ht="13.5" customHeight="1" x14ac:dyDescent="0.25">
      <c r="B88" s="126"/>
      <c r="C88" s="126"/>
      <c r="D88" s="148"/>
      <c r="E88" s="127"/>
      <c r="F88" s="127"/>
      <c r="G88" s="127"/>
      <c r="H88" s="127"/>
      <c r="I88" s="127"/>
      <c r="J88" s="127"/>
      <c r="K88" s="127"/>
    </row>
    <row r="89" spans="1:13" ht="13.5" customHeight="1" x14ac:dyDescent="0.25">
      <c r="B89" s="126"/>
      <c r="C89" s="126"/>
      <c r="D89" s="148"/>
      <c r="E89" s="127"/>
      <c r="F89" s="127"/>
      <c r="G89" s="127"/>
      <c r="H89" s="127"/>
      <c r="I89" s="127"/>
      <c r="J89" s="127"/>
      <c r="K89" s="127"/>
    </row>
    <row r="90" spans="1:13" ht="13.5" customHeight="1" x14ac:dyDescent="0.25">
      <c r="B90" s="126"/>
      <c r="C90" s="126"/>
      <c r="D90" s="148"/>
      <c r="E90" s="127"/>
      <c r="F90" s="127"/>
      <c r="G90" s="127"/>
      <c r="H90" s="127"/>
      <c r="I90" s="127"/>
      <c r="J90" s="127"/>
      <c r="K90" s="127"/>
    </row>
    <row r="91" spans="1:13" ht="14.1" customHeight="1" thickBot="1" x14ac:dyDescent="0.3">
      <c r="B91" s="126"/>
      <c r="C91" s="126"/>
      <c r="D91" s="148"/>
      <c r="E91" s="127"/>
      <c r="F91" s="127"/>
      <c r="G91" s="127"/>
      <c r="H91" s="127"/>
      <c r="I91" s="127"/>
      <c r="J91" s="127"/>
      <c r="K91" s="127"/>
    </row>
    <row r="92" spans="1:13" ht="14.1" customHeight="1" x14ac:dyDescent="0.25">
      <c r="B92" s="26"/>
      <c r="C92" s="150" t="s">
        <v>30</v>
      </c>
      <c r="D92" s="149"/>
      <c r="E92" s="117"/>
    </row>
    <row r="93" spans="1:13" ht="14.1" customHeight="1" thickBot="1" x14ac:dyDescent="0.3">
      <c r="B93" s="26"/>
      <c r="C93" s="151" t="s">
        <v>52</v>
      </c>
      <c r="D93" s="149"/>
      <c r="E93" s="117"/>
    </row>
    <row r="94" spans="1:13" ht="14.1" customHeight="1" x14ac:dyDescent="0.25">
      <c r="B94" s="26"/>
      <c r="D94" s="149"/>
      <c r="E94" s="117"/>
    </row>
    <row r="95" spans="1:13" ht="14.1" customHeight="1" x14ac:dyDescent="0.25">
      <c r="B95" s="111"/>
      <c r="C95" s="132"/>
      <c r="D95" s="133"/>
      <c r="E95" s="111"/>
      <c r="F95" s="134"/>
    </row>
    <row r="96" spans="1:13" ht="14.1" customHeight="1" x14ac:dyDescent="0.25">
      <c r="B96" s="135"/>
      <c r="C96" s="111"/>
      <c r="D96" s="111"/>
      <c r="E96" s="111"/>
      <c r="F96" s="134"/>
    </row>
  </sheetData>
  <mergeCells count="19">
    <mergeCell ref="H6:I6"/>
    <mergeCell ref="H7:I7"/>
    <mergeCell ref="B12:J12"/>
    <mergeCell ref="H11:J11"/>
    <mergeCell ref="H82:I82"/>
    <mergeCell ref="B82:C82"/>
    <mergeCell ref="E82:G82"/>
    <mergeCell ref="B81:D81"/>
    <mergeCell ref="E81:G81"/>
    <mergeCell ref="K80:L80"/>
    <mergeCell ref="K81:L81"/>
    <mergeCell ref="B83:C83"/>
    <mergeCell ref="E83:G83"/>
    <mergeCell ref="H83:I83"/>
    <mergeCell ref="H46:I46"/>
    <mergeCell ref="B75:I75"/>
    <mergeCell ref="B80:D80"/>
    <mergeCell ref="E80:G80"/>
    <mergeCell ref="H80:I80"/>
  </mergeCells>
  <phoneticPr fontId="0" type="noConversion"/>
  <printOptions verticalCentered="1"/>
  <pageMargins left="0.7" right="0.7" top="0.75" bottom="0.75" header="0.3" footer="0.3"/>
  <pageSetup paperSize="9" scale="32" fitToHeight="2" orientation="portrait" horizontalDpi="4294967293" r:id="rId1"/>
  <headerFooter alignWithMargins="0">
    <oddFooter>&amp;C&amp;"Tahoma,Normal"&amp;8&amp;P/&amp;N</oddFooter>
  </headerFooter>
  <rowBreaks count="1" manualBreakCount="1">
    <brk id="40" max="12" man="1"/>
  </rowBreaks>
  <colBreaks count="1" manualBreakCount="1">
    <brk id="13" max="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TEKLİF</vt:lpstr>
      <vt:lpstr>TEKLİF!Yazdırma_Alanı</vt:lpstr>
    </vt:vector>
  </TitlesOfParts>
  <Company>Alarko Carrier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Alarko Carrier San. ve Tic.A.Ş.</dc:title>
  <dc:subject>Yetkili Satıcı Teklif Programı-Versiyon-01</dc:subject>
  <dc:creator>Erkan Mutlu</dc:creator>
  <dc:description>Kopyala yapıştır özelliği ile çalışır</dc:description>
  <cp:lastModifiedBy>win7</cp:lastModifiedBy>
  <cp:lastPrinted>2025-09-21T16:27:57Z</cp:lastPrinted>
  <dcterms:created xsi:type="dcterms:W3CDTF">2004-03-09T12:42:14Z</dcterms:created>
  <dcterms:modified xsi:type="dcterms:W3CDTF">2025-09-21T16:27:59Z</dcterms:modified>
  <cp:category>Isıtma</cp:category>
</cp:coreProperties>
</file>